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" sheetId="1" state="visible" r:id="rId3"/>
    <sheet name="bilan 2016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<sst xmlns="http://schemas.openxmlformats.org/spreadsheetml/2006/main" count="91" uniqueCount="61">
  <si>
    <t xml:space="preserve">Tableau des charges fixes</t>
  </si>
  <si>
    <t xml:space="preserve">par mois</t>
  </si>
  <si>
    <t xml:space="preserve">par an</t>
  </si>
  <si>
    <t xml:space="preserve">Loyer du local</t>
  </si>
  <si>
    <t xml:space="preserve">Mobilier / aménagement cuisines</t>
  </si>
  <si>
    <t xml:space="preserve">Factures eau et énergie</t>
  </si>
  <si>
    <t xml:space="preserve">Entretien des locaux</t>
  </si>
  <si>
    <t xml:space="preserve">Publicité</t>
  </si>
  <si>
    <t xml:space="preserve">Prime d'assurance</t>
  </si>
  <si>
    <t xml:space="preserve">Emprunt bancaire</t>
  </si>
  <si>
    <t xml:space="preserve">Personnel (2 x SMIC, 1 365 €/mois)</t>
  </si>
  <si>
    <t xml:space="preserve">TOTAL</t>
  </si>
  <si>
    <t xml:space="preserve">Légende : cellules bleues = valeurs saisies (modifiables) | cellules noires = calculs automatiques</t>
  </si>
  <si>
    <t xml:space="preserve">Tableau du prix des ventes</t>
  </si>
  <si>
    <t xml:space="preserve">prix de vente</t>
  </si>
  <si>
    <t xml:space="preserve">Menu 1</t>
  </si>
  <si>
    <t xml:space="preserve">Menu 2</t>
  </si>
  <si>
    <t xml:space="preserve">Menu 3</t>
  </si>
  <si>
    <t xml:space="preserve">Boisson soft</t>
  </si>
  <si>
    <t xml:space="preserve">Boisson alcool</t>
  </si>
  <si>
    <t xml:space="preserve">Tableau des matières premières (coût par vente)</t>
  </si>
  <si>
    <t xml:space="preserve">coût matière</t>
  </si>
  <si>
    <t xml:space="preserve">Taux de taxes et impôts (sur le prix de vente)</t>
  </si>
  <si>
    <t xml:space="preserve">Taux taxe menu</t>
  </si>
  <si>
    <t xml:space="preserve">Taux taxe boisson</t>
  </si>
  <si>
    <t xml:space="preserve">Montant de la taxe pour 1 vente</t>
  </si>
  <si>
    <t xml:space="preserve">taxe / vente</t>
  </si>
  <si>
    <t xml:space="preserve">Tableau répartition des ventes sur 2016</t>
  </si>
  <si>
    <t xml:space="preserve">Jan</t>
  </si>
  <si>
    <t xml:space="preserve">Fév</t>
  </si>
  <si>
    <t xml:space="preserve">Mars</t>
  </si>
  <si>
    <t xml:space="preserve">Avr</t>
  </si>
  <si>
    <t xml:space="preserve">Mai</t>
  </si>
  <si>
    <t xml:space="preserve">Juin</t>
  </si>
  <si>
    <t xml:space="preserve">Juil</t>
  </si>
  <si>
    <t xml:space="preserve">Août</t>
  </si>
  <si>
    <t xml:space="preserve">Sept</t>
  </si>
  <si>
    <t xml:space="preserve">Oct</t>
  </si>
  <si>
    <t xml:space="preserve">Nov</t>
  </si>
  <si>
    <t xml:space="preserve">Déc</t>
  </si>
  <si>
    <t xml:space="preserve">Soft</t>
  </si>
  <si>
    <t xml:space="preserve">alcool</t>
  </si>
  <si>
    <t xml:space="preserve">Bilan 2016</t>
  </si>
  <si>
    <t xml:space="preserve">CA Menu 1</t>
  </si>
  <si>
    <t xml:space="preserve">CA Menu 2</t>
  </si>
  <si>
    <t xml:space="preserve">CA Menu 3</t>
  </si>
  <si>
    <t xml:space="preserve">CA Soft</t>
  </si>
  <si>
    <t xml:space="preserve">CA alcool</t>
  </si>
  <si>
    <t xml:space="preserve">TOTAL CA</t>
  </si>
  <si>
    <t xml:space="preserve">Charges fixes</t>
  </si>
  <si>
    <t xml:space="preserve">Matière 1ère Menu 1</t>
  </si>
  <si>
    <t xml:space="preserve">Matière 1ère Menu 2</t>
  </si>
  <si>
    <t xml:space="preserve">Matière 1ère Menu 3</t>
  </si>
  <si>
    <t xml:space="preserve">Matière 1ère Soft</t>
  </si>
  <si>
    <t xml:space="preserve">Matière 1ère alcool</t>
  </si>
  <si>
    <t xml:space="preserve">Taxe menu</t>
  </si>
  <si>
    <t xml:space="preserve">Taxe boisson</t>
  </si>
  <si>
    <t xml:space="preserve">TOTAL charges variables</t>
  </si>
  <si>
    <t xml:space="preserve">TOTAL des charges</t>
  </si>
  <si>
    <t xml:space="preserve">TOTAL des coûts</t>
  </si>
  <si>
    <t xml:space="preserve">Résultat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</si>
</sst>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€&quot;"/>
    <numFmt numFmtId="166" formatCode="0%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B04642"/>
      <rgbColor rgb="FFB94946"/>
      <rgbColor rgb="FF008080"/>
      <rgbColor rgb="FFBFBFBF"/>
      <rgbColor rgb="FF808080"/>
      <rgbColor rgb="FFCF9695"/>
      <rgbColor rgb="FF9A3D3A"/>
      <rgbColor rgb="FFFFF2CC"/>
      <rgbColor rgb="FFE2EFDA"/>
      <rgbColor rgb="FF660066"/>
      <rgbColor rgb="FFC87E7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FF99"/>
      <rgbColor rgb="FFE2C9C8"/>
      <rgbColor rgb="FFD6A9A9"/>
      <rgbColor rgb="FFDDB9B9"/>
      <rgbColor rgb="FFFFC7CE"/>
      <rgbColor rgb="FF3366FF"/>
      <rgbColor rgb="FF33CCCC"/>
      <rgbColor rgb="FF99CC00"/>
      <rgbColor rgb="FFFFCC00"/>
      <rgbColor rgb="FFFF9900"/>
      <rgbColor rgb="FFC1605E"/>
      <rgbColor rgb="FFA5413F"/>
      <rgbColor rgb="FF878787"/>
      <rgbColor rgb="FF003366"/>
      <rgbColor rgb="FF339966"/>
      <rgbColor rgb="FF003300"/>
      <rgbColor rgb="FF333300"/>
      <rgbColor rgb="FF803230"/>
      <rgbColor rgb="FF8D3735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Résultat mensuel 2016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"Résultat"</c:f>
              <c:strCache>
                <c:ptCount val="1"/>
                <c:pt idx="0">
                  <c:v>Résultat</c:v>
                </c:pt>
              </c:strCache>
            </c:strRef>
          </c:tx>
          <c:spPr>
            <a:solidFill>
              <a:srgbClr val="803230"/>
            </a:solidFill>
            <a:ln w="47520">
              <a:solidFill>
                <a:srgbClr val="803230"/>
              </a:solidFill>
              <a:round/>
            </a:ln>
          </c:spPr>
          <c:marker>
            <c:symbol val="circle"/>
            <c:size val="5"/>
            <c:spPr>
              <a:solidFill>
                <a:srgbClr val="80323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'bilan 2016'!$B$2:$M$2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Sept</c:v>
                  </c:pt>
                </c:lvl>
                <c:lvl>
                  <c:pt idx="0">
                    <c:v>Août</c:v>
                  </c:pt>
                </c:lvl>
                <c:lvl>
                  <c:pt idx="0">
                    <c:v>Juil</c:v>
                  </c:pt>
                </c:lvl>
                <c:lvl>
                  <c:pt idx="0">
                    <c:v>Juin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Mars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'bilan 2016'!$B$20</c:f>
              <c:numCache>
                <c:formatCode>#,##0.00" €"</c:formatCode>
                <c:ptCount val="1"/>
                <c:pt idx="0">
                  <c:v>-2100.66666666667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8d3735"/>
            </a:solidFill>
            <a:ln w="47520">
              <a:solidFill>
                <a:srgbClr val="8d37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'bilan 2016'!$B$2:$M$2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Sept</c:v>
                  </c:pt>
                </c:lvl>
                <c:lvl>
                  <c:pt idx="0">
                    <c:v>Août</c:v>
                  </c:pt>
                </c:lvl>
                <c:lvl>
                  <c:pt idx="0">
                    <c:v>Juil</c:v>
                  </c:pt>
                </c:lvl>
                <c:lvl>
                  <c:pt idx="0">
                    <c:v>Juin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Mars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'bilan 2016'!$C$20</c:f>
              <c:numCache>
                <c:formatCode>#,##0.00" €"</c:formatCode>
                <c:ptCount val="1"/>
                <c:pt idx="0">
                  <c:v>-1427.66666666667</c:v>
                </c:pt>
              </c:numCache>
            </c:numRef>
          </c:val>
          <c:smooth val="1"/>
        </c:ser>
        <c:ser>
          <c:idx val="2"/>
          <c:order val="2"/>
          <c:spPr>
            <a:solidFill>
              <a:srgbClr val="9a3d3a"/>
            </a:solidFill>
            <a:ln w="47520">
              <a:solidFill>
                <a:srgbClr val="9a3d3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'bilan 2016'!$B$2:$M$2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Sept</c:v>
                  </c:pt>
                </c:lvl>
                <c:lvl>
                  <c:pt idx="0">
                    <c:v>Août</c:v>
                  </c:pt>
                </c:lvl>
                <c:lvl>
                  <c:pt idx="0">
                    <c:v>Juil</c:v>
                  </c:pt>
                </c:lvl>
                <c:lvl>
                  <c:pt idx="0">
                    <c:v>Juin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Mars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'bilan 2016'!$D$20</c:f>
              <c:numCache>
                <c:formatCode>#,##0.00" €"</c:formatCode>
                <c:ptCount val="1"/>
                <c:pt idx="0">
                  <c:v>299.333333333332</c:v>
                </c:pt>
              </c:numCache>
            </c:numRef>
          </c:val>
          <c:smooth val="1"/>
        </c:ser>
        <c:ser>
          <c:idx val="3"/>
          <c:order val="3"/>
          <c:spPr>
            <a:solidFill>
              <a:srgbClr val="a5413f"/>
            </a:solidFill>
            <a:ln w="47520">
              <a:solidFill>
                <a:srgbClr val="a541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'bilan 2016'!$B$2:$M$2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Sept</c:v>
                  </c:pt>
                </c:lvl>
                <c:lvl>
                  <c:pt idx="0">
                    <c:v>Août</c:v>
                  </c:pt>
                </c:lvl>
                <c:lvl>
                  <c:pt idx="0">
                    <c:v>Juil</c:v>
                  </c:pt>
                </c:lvl>
                <c:lvl>
                  <c:pt idx="0">
                    <c:v>Juin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Mars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'bilan 2016'!$E$20</c:f>
              <c:numCache>
                <c:formatCode>#,##0.00" €"</c:formatCode>
                <c:ptCount val="1"/>
                <c:pt idx="0">
                  <c:v>-1353.66666666667</c:v>
                </c:pt>
              </c:numCache>
            </c:numRef>
          </c:val>
          <c:smooth val="1"/>
        </c:ser>
        <c:ser>
          <c:idx val="4"/>
          <c:order val="4"/>
          <c:spPr>
            <a:solidFill>
              <a:srgbClr val="b04642"/>
            </a:solidFill>
            <a:ln w="47520">
              <a:solidFill>
                <a:srgbClr val="b0464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'bilan 2016'!$B$2:$M$2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Sept</c:v>
                  </c:pt>
                </c:lvl>
                <c:lvl>
                  <c:pt idx="0">
                    <c:v>Août</c:v>
                  </c:pt>
                </c:lvl>
                <c:lvl>
                  <c:pt idx="0">
                    <c:v>Juil</c:v>
                  </c:pt>
                </c:lvl>
                <c:lvl>
                  <c:pt idx="0">
                    <c:v>Juin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Mars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'bilan 2016'!$F$20</c:f>
              <c:numCache>
                <c:formatCode>#,##0.00" €"</c:formatCode>
                <c:ptCount val="1"/>
                <c:pt idx="0">
                  <c:v>-234.666666666668</c:v>
                </c:pt>
              </c:numCache>
            </c:numRef>
          </c:val>
          <c:smooth val="1"/>
        </c:ser>
        <c:ser>
          <c:idx val="5"/>
          <c:order val="5"/>
          <c:spPr>
            <a:solidFill>
              <a:srgbClr val="b94946"/>
            </a:solidFill>
            <a:ln w="47520">
              <a:solidFill>
                <a:srgbClr val="b9494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'bilan 2016'!$B$2:$M$2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Sept</c:v>
                  </c:pt>
                </c:lvl>
                <c:lvl>
                  <c:pt idx="0">
                    <c:v>Août</c:v>
                  </c:pt>
                </c:lvl>
                <c:lvl>
                  <c:pt idx="0">
                    <c:v>Juil</c:v>
                  </c:pt>
                </c:lvl>
                <c:lvl>
                  <c:pt idx="0">
                    <c:v>Juin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Mars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'bilan 2016'!$G$20</c:f>
              <c:numCache>
                <c:formatCode>#,##0.00" €"</c:formatCode>
                <c:ptCount val="1"/>
                <c:pt idx="0">
                  <c:v>439.333333333332</c:v>
                </c:pt>
              </c:numCache>
            </c:numRef>
          </c:val>
          <c:smooth val="1"/>
        </c:ser>
        <c:ser>
          <c:idx val="6"/>
          <c:order val="6"/>
          <c:spPr>
            <a:solidFill>
              <a:srgbClr val="c1605e"/>
            </a:solidFill>
            <a:ln w="47520">
              <a:solidFill>
                <a:srgbClr val="c1605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'bilan 2016'!$B$2:$M$2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Sept</c:v>
                  </c:pt>
                </c:lvl>
                <c:lvl>
                  <c:pt idx="0">
                    <c:v>Août</c:v>
                  </c:pt>
                </c:lvl>
                <c:lvl>
                  <c:pt idx="0">
                    <c:v>Juil</c:v>
                  </c:pt>
                </c:lvl>
                <c:lvl>
                  <c:pt idx="0">
                    <c:v>Juin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Mars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'bilan 2016'!$H$20</c:f>
              <c:numCache>
                <c:formatCode>#,##0.00" €"</c:formatCode>
                <c:ptCount val="1"/>
                <c:pt idx="0">
                  <c:v>-1327.66666666667</c:v>
                </c:pt>
              </c:numCache>
            </c:numRef>
          </c:val>
          <c:smooth val="1"/>
        </c:ser>
        <c:ser>
          <c:idx val="7"/>
          <c:order val="7"/>
          <c:spPr>
            <a:solidFill>
              <a:srgbClr val="c87e7d"/>
            </a:solidFill>
            <a:ln w="47520">
              <a:solidFill>
                <a:srgbClr val="c87e7d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'bilan 2016'!$B$2:$M$2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Sept</c:v>
                  </c:pt>
                </c:lvl>
                <c:lvl>
                  <c:pt idx="0">
                    <c:v>Août</c:v>
                  </c:pt>
                </c:lvl>
                <c:lvl>
                  <c:pt idx="0">
                    <c:v>Juil</c:v>
                  </c:pt>
                </c:lvl>
                <c:lvl>
                  <c:pt idx="0">
                    <c:v>Juin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Mars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'bilan 2016'!$I$20</c:f>
              <c:numCache>
                <c:formatCode>#,##0.00" €"</c:formatCode>
                <c:ptCount val="1"/>
                <c:pt idx="0">
                  <c:v>-715.666666666668</c:v>
                </c:pt>
              </c:numCache>
            </c:numRef>
          </c:val>
          <c:smooth val="1"/>
        </c:ser>
        <c:ser>
          <c:idx val="8"/>
          <c:order val="8"/>
          <c:spPr>
            <a:solidFill>
              <a:srgbClr val="cf9695"/>
            </a:solidFill>
            <a:ln w="47520">
              <a:solidFill>
                <a:srgbClr val="cf969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'bilan 2016'!$B$2:$M$2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Sept</c:v>
                  </c:pt>
                </c:lvl>
                <c:lvl>
                  <c:pt idx="0">
                    <c:v>Août</c:v>
                  </c:pt>
                </c:lvl>
                <c:lvl>
                  <c:pt idx="0">
                    <c:v>Juil</c:v>
                  </c:pt>
                </c:lvl>
                <c:lvl>
                  <c:pt idx="0">
                    <c:v>Juin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Mars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'bilan 2016'!$J$20</c:f>
              <c:numCache>
                <c:formatCode>#,##0.00" €"</c:formatCode>
                <c:ptCount val="1"/>
                <c:pt idx="0">
                  <c:v>-2289.66666666667</c:v>
                </c:pt>
              </c:numCache>
            </c:numRef>
          </c:val>
          <c:smooth val="1"/>
        </c:ser>
        <c:ser>
          <c:idx val="9"/>
          <c:order val="9"/>
          <c:spPr>
            <a:solidFill>
              <a:srgbClr val="d6a9a9"/>
            </a:solidFill>
            <a:ln w="47520">
              <a:solidFill>
                <a:srgbClr val="d6a9a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'bilan 2016'!$B$2:$M$2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Sept</c:v>
                  </c:pt>
                </c:lvl>
                <c:lvl>
                  <c:pt idx="0">
                    <c:v>Août</c:v>
                  </c:pt>
                </c:lvl>
                <c:lvl>
                  <c:pt idx="0">
                    <c:v>Juil</c:v>
                  </c:pt>
                </c:lvl>
                <c:lvl>
                  <c:pt idx="0">
                    <c:v>Juin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Mars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'bilan 2016'!$K$20</c:f>
              <c:numCache>
                <c:formatCode>#,##0.00" €"</c:formatCode>
                <c:ptCount val="1"/>
                <c:pt idx="0">
                  <c:v>-1786.66666666667</c:v>
                </c:pt>
              </c:numCache>
            </c:numRef>
          </c:val>
          <c:smooth val="1"/>
        </c:ser>
        <c:ser>
          <c:idx val="10"/>
          <c:order val="10"/>
          <c:spPr>
            <a:solidFill>
              <a:srgbClr val="ddb9b9"/>
            </a:solidFill>
            <a:ln w="47520">
              <a:solidFill>
                <a:srgbClr val="ddb9b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'bilan 2016'!$B$2:$M$2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Sept</c:v>
                  </c:pt>
                </c:lvl>
                <c:lvl>
                  <c:pt idx="0">
                    <c:v>Août</c:v>
                  </c:pt>
                </c:lvl>
                <c:lvl>
                  <c:pt idx="0">
                    <c:v>Juil</c:v>
                  </c:pt>
                </c:lvl>
                <c:lvl>
                  <c:pt idx="0">
                    <c:v>Juin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Mars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'bilan 2016'!$L$20</c:f>
              <c:numCache>
                <c:formatCode>#,##0.00" €"</c:formatCode>
                <c:ptCount val="1"/>
                <c:pt idx="0">
                  <c:v>249.333333333332</c:v>
                </c:pt>
              </c:numCache>
            </c:numRef>
          </c:val>
          <c:smooth val="1"/>
        </c:ser>
        <c:ser>
          <c:idx val="11"/>
          <c:order val="11"/>
          <c:spPr>
            <a:solidFill>
              <a:srgbClr val="e2c9c8"/>
            </a:solidFill>
            <a:ln w="47520">
              <a:solidFill>
                <a:srgbClr val="e2c9c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'bilan 2016'!$B$2:$M$2</c:f>
              <c:multiLvlStrCache>
                <c:ptCount val="1"/>
                <c:lvl>
                  <c:pt idx="0">
                    <c:v>Déc</c:v>
                  </c:pt>
                </c:lvl>
                <c:lvl>
                  <c:pt idx="0">
                    <c:v>Nov</c:v>
                  </c:pt>
                </c:lvl>
                <c:lvl>
                  <c:pt idx="0">
                    <c:v>Oct</c:v>
                  </c:pt>
                </c:lvl>
                <c:lvl>
                  <c:pt idx="0">
                    <c:v>Sept</c:v>
                  </c:pt>
                </c:lvl>
                <c:lvl>
                  <c:pt idx="0">
                    <c:v>Août</c:v>
                  </c:pt>
                </c:lvl>
                <c:lvl>
                  <c:pt idx="0">
                    <c:v>Juil</c:v>
                  </c:pt>
                </c:lvl>
                <c:lvl>
                  <c:pt idx="0">
                    <c:v>Juin</c:v>
                  </c:pt>
                </c:lvl>
                <c:lvl>
                  <c:pt idx="0">
                    <c:v>Mai</c:v>
                  </c:pt>
                </c:lvl>
                <c:lvl>
                  <c:pt idx="0">
                    <c:v>Avr</c:v>
                  </c:pt>
                </c:lvl>
                <c:lvl>
                  <c:pt idx="0">
                    <c:v>Mars</c:v>
                  </c:pt>
                </c:lvl>
                <c:lvl>
                  <c:pt idx="0">
                    <c:v>Fév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'bilan 2016'!$M$20</c:f>
              <c:numCache>
                <c:formatCode>#,##0.00" €"</c:formatCode>
                <c:ptCount val="1"/>
                <c:pt idx="0">
                  <c:v>-1680.66666666667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82198719"/>
        <c:axId val="39724598"/>
      </c:lineChart>
      <c:catAx>
        <c:axId val="821987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24598"/>
        <c:crosses val="autoZero"/>
        <c:auto val="1"/>
        <c:lblAlgn val="ctr"/>
        <c:lblOffset val="100"/>
        <c:noMultiLvlLbl val="0"/>
      </c:catAx>
      <c:valAx>
        <c:axId val="397245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Résultat (€)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&quot; €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1987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22</xdr:row>
      <xdr:rowOff>0</xdr:rowOff>
    </xdr:from>
    <xdr:to>
      <xdr:col>12</xdr:col>
      <xdr:colOff>110880</xdr:colOff>
      <xdr:row>40</xdr:row>
      <xdr:rowOff>170640</xdr:rowOff>
    </xdr:to>
    <xdr:graphicFrame>
      <xdr:nvGraphicFramePr>
        <xdr:cNvPr id="0" name="Chart 1"/>
        <xdr:cNvGraphicFramePr/>
      </xdr:nvGraphicFramePr>
      <xdr:xfrm>
        <a:off x="2114640" y="419112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4" min="2" style="0" width="12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B3" s="2" t="s">
        <v>1</v>
      </c>
      <c r="C3" s="2" t="s">
        <v>2</v>
      </c>
    </row>
    <row r="4" customFormat="false" ht="15" hidden="false" customHeight="false" outlineLevel="0" collapsed="false">
      <c r="A4" s="3" t="s">
        <v>3</v>
      </c>
      <c r="B4" s="4" t="n">
        <v>1000</v>
      </c>
      <c r="C4" s="5" t="n">
        <f aca="false">B4*12</f>
        <v>12000</v>
      </c>
    </row>
    <row r="5" customFormat="false" ht="15" hidden="false" customHeight="false" outlineLevel="0" collapsed="false">
      <c r="A5" s="3" t="s">
        <v>4</v>
      </c>
      <c r="B5" s="5" t="n">
        <f aca="false">C5/12</f>
        <v>250</v>
      </c>
      <c r="C5" s="4" t="n">
        <v>3000</v>
      </c>
    </row>
    <row r="6" customFormat="false" ht="15" hidden="false" customHeight="false" outlineLevel="0" collapsed="false">
      <c r="A6" s="3" t="s">
        <v>5</v>
      </c>
      <c r="B6" s="4" t="n">
        <v>200</v>
      </c>
      <c r="C6" s="5" t="n">
        <f aca="false">B6*12</f>
        <v>2400</v>
      </c>
    </row>
    <row r="7" customFormat="false" ht="15" hidden="false" customHeight="false" outlineLevel="0" collapsed="false">
      <c r="A7" s="3" t="s">
        <v>6</v>
      </c>
      <c r="B7" s="4" t="n">
        <v>100</v>
      </c>
      <c r="C7" s="5" t="n">
        <f aca="false">B7*12</f>
        <v>1200</v>
      </c>
    </row>
    <row r="8" customFormat="false" ht="15" hidden="false" customHeight="false" outlineLevel="0" collapsed="false">
      <c r="A8" s="3" t="s">
        <v>7</v>
      </c>
      <c r="B8" s="5" t="n">
        <f aca="false">C8/12</f>
        <v>66.6666666666667</v>
      </c>
      <c r="C8" s="4" t="n">
        <v>800</v>
      </c>
    </row>
    <row r="9" customFormat="false" ht="15" hidden="false" customHeight="false" outlineLevel="0" collapsed="false">
      <c r="A9" s="3" t="s">
        <v>8</v>
      </c>
      <c r="B9" s="5" t="n">
        <f aca="false">C9/12</f>
        <v>100</v>
      </c>
      <c r="C9" s="4" t="n">
        <v>1200</v>
      </c>
    </row>
    <row r="10" customFormat="false" ht="15" hidden="false" customHeight="false" outlineLevel="0" collapsed="false">
      <c r="A10" s="3" t="s">
        <v>9</v>
      </c>
      <c r="B10" s="4" t="n">
        <v>250</v>
      </c>
      <c r="C10" s="5" t="n">
        <f aca="false">B10*12</f>
        <v>3000</v>
      </c>
    </row>
    <row r="11" customFormat="false" ht="15" hidden="false" customHeight="false" outlineLevel="0" collapsed="false">
      <c r="A11" s="3" t="s">
        <v>10</v>
      </c>
      <c r="B11" s="4" t="n">
        <v>2730</v>
      </c>
      <c r="C11" s="5" t="n">
        <f aca="false">B11*12</f>
        <v>32760</v>
      </c>
    </row>
    <row r="12" customFormat="false" ht="15" hidden="false" customHeight="false" outlineLevel="0" collapsed="false">
      <c r="A12" s="6" t="s">
        <v>11</v>
      </c>
      <c r="B12" s="7" t="n">
        <f aca="false">SUM(B4:B11)</f>
        <v>4696.66666666667</v>
      </c>
      <c r="C12" s="7" t="n">
        <f aca="false">SUM(C4:C11)</f>
        <v>56360</v>
      </c>
    </row>
    <row r="13" customFormat="false" ht="15" hidden="false" customHeight="false" outlineLevel="0" collapsed="false">
      <c r="A13" s="8" t="s">
        <v>12</v>
      </c>
    </row>
    <row r="14" customFormat="false" ht="15" hidden="false" customHeight="false" outlineLevel="0" collapsed="false">
      <c r="A14" s="1" t="s">
        <v>13</v>
      </c>
    </row>
    <row r="15" customFormat="false" ht="15" hidden="false" customHeight="false" outlineLevel="0" collapsed="false">
      <c r="B15" s="2" t="s">
        <v>14</v>
      </c>
    </row>
    <row r="16" customFormat="false" ht="15" hidden="false" customHeight="false" outlineLevel="0" collapsed="false">
      <c r="A16" s="9" t="s">
        <v>15</v>
      </c>
      <c r="B16" s="4" t="n">
        <v>15</v>
      </c>
    </row>
    <row r="17" customFormat="false" ht="15" hidden="false" customHeight="false" outlineLevel="0" collapsed="false">
      <c r="A17" s="9" t="s">
        <v>16</v>
      </c>
      <c r="B17" s="4" t="n">
        <v>25</v>
      </c>
    </row>
    <row r="18" customFormat="false" ht="15" hidden="false" customHeight="false" outlineLevel="0" collapsed="false">
      <c r="A18" s="9" t="s">
        <v>17</v>
      </c>
      <c r="B18" s="4" t="n">
        <v>35</v>
      </c>
    </row>
    <row r="19" customFormat="false" ht="15" hidden="false" customHeight="false" outlineLevel="0" collapsed="false">
      <c r="A19" s="9" t="s">
        <v>18</v>
      </c>
      <c r="B19" s="4" t="n">
        <v>3</v>
      </c>
    </row>
    <row r="20" customFormat="false" ht="15" hidden="false" customHeight="false" outlineLevel="0" collapsed="false">
      <c r="A20" s="9" t="s">
        <v>19</v>
      </c>
      <c r="B20" s="4" t="n">
        <v>6</v>
      </c>
    </row>
    <row r="21" customFormat="false" ht="15" hidden="false" customHeight="false" outlineLevel="0" collapsed="false">
      <c r="A21" s="8" t="s">
        <v>12</v>
      </c>
    </row>
    <row r="22" customFormat="false" ht="15" hidden="false" customHeight="false" outlineLevel="0" collapsed="false">
      <c r="A22" s="1" t="s">
        <v>20</v>
      </c>
    </row>
    <row r="23" customFormat="false" ht="15" hidden="false" customHeight="false" outlineLevel="0" collapsed="false">
      <c r="B23" s="2" t="s">
        <v>21</v>
      </c>
    </row>
    <row r="24" customFormat="false" ht="15" hidden="false" customHeight="false" outlineLevel="0" collapsed="false">
      <c r="A24" s="9" t="s">
        <v>15</v>
      </c>
      <c r="B24" s="4" t="n">
        <v>10</v>
      </c>
    </row>
    <row r="25" customFormat="false" ht="15" hidden="false" customHeight="false" outlineLevel="0" collapsed="false">
      <c r="A25" s="9" t="s">
        <v>16</v>
      </c>
      <c r="B25" s="4" t="n">
        <v>15</v>
      </c>
    </row>
    <row r="26" customFormat="false" ht="15" hidden="false" customHeight="false" outlineLevel="0" collapsed="false">
      <c r="A26" s="9" t="s">
        <v>17</v>
      </c>
      <c r="B26" s="4" t="n">
        <v>20</v>
      </c>
    </row>
    <row r="27" customFormat="false" ht="15" hidden="false" customHeight="false" outlineLevel="0" collapsed="false">
      <c r="A27" s="9" t="s">
        <v>18</v>
      </c>
      <c r="B27" s="4" t="n">
        <v>1</v>
      </c>
    </row>
    <row r="28" customFormat="false" ht="15" hidden="false" customHeight="false" outlineLevel="0" collapsed="false">
      <c r="A28" s="9" t="s">
        <v>19</v>
      </c>
      <c r="B28" s="4" t="n">
        <v>2</v>
      </c>
    </row>
    <row r="29" customFormat="false" ht="15" hidden="false" customHeight="false" outlineLevel="0" collapsed="false">
      <c r="A29" s="8" t="s">
        <v>12</v>
      </c>
    </row>
    <row r="30" customFormat="false" ht="15" hidden="false" customHeight="false" outlineLevel="0" collapsed="false">
      <c r="A30" s="1" t="s">
        <v>22</v>
      </c>
    </row>
    <row r="31" customFormat="false" ht="15" hidden="false" customHeight="false" outlineLevel="0" collapsed="false">
      <c r="A31" s="9" t="s">
        <v>23</v>
      </c>
      <c r="B31" s="10" t="n">
        <v>0.1</v>
      </c>
    </row>
    <row r="32" customFormat="false" ht="15" hidden="false" customHeight="false" outlineLevel="0" collapsed="false">
      <c r="A32" s="9" t="s">
        <v>24</v>
      </c>
      <c r="B32" s="10" t="n">
        <v>0.2</v>
      </c>
    </row>
    <row r="34" customFormat="false" ht="15" hidden="false" customHeight="false" outlineLevel="0" collapsed="false">
      <c r="A34" s="1" t="s">
        <v>25</v>
      </c>
    </row>
    <row r="35" customFormat="false" ht="15" hidden="false" customHeight="false" outlineLevel="0" collapsed="false">
      <c r="B35" s="2" t="s">
        <v>26</v>
      </c>
    </row>
    <row r="36" customFormat="false" ht="15" hidden="false" customHeight="false" outlineLevel="0" collapsed="false">
      <c r="A36" s="9" t="s">
        <v>15</v>
      </c>
      <c r="B36" s="5" t="n">
        <f aca="false">B16*$B$31</f>
        <v>1.5</v>
      </c>
    </row>
    <row r="37" customFormat="false" ht="15" hidden="false" customHeight="false" outlineLevel="0" collapsed="false">
      <c r="A37" s="9" t="s">
        <v>16</v>
      </c>
      <c r="B37" s="5" t="n">
        <f aca="false">B17*$B$31</f>
        <v>2.5</v>
      </c>
    </row>
    <row r="38" customFormat="false" ht="15" hidden="false" customHeight="false" outlineLevel="0" collapsed="false">
      <c r="A38" s="9" t="s">
        <v>17</v>
      </c>
      <c r="B38" s="5" t="n">
        <f aca="false">B18*$B$31</f>
        <v>3.5</v>
      </c>
    </row>
    <row r="39" customFormat="false" ht="15" hidden="false" customHeight="false" outlineLevel="0" collapsed="false">
      <c r="A39" s="9" t="s">
        <v>18</v>
      </c>
      <c r="B39" s="5" t="n">
        <f aca="false">B19*$B$32</f>
        <v>0.6</v>
      </c>
    </row>
    <row r="40" customFormat="false" ht="15" hidden="false" customHeight="false" outlineLevel="0" collapsed="false">
      <c r="A40" s="9" t="s">
        <v>19</v>
      </c>
      <c r="B40" s="5" t="n">
        <f aca="false">B20*$B$32</f>
        <v>1.2</v>
      </c>
    </row>
    <row r="41" customFormat="false" ht="15" hidden="false" customHeight="false" outlineLevel="0" collapsed="false">
      <c r="A41" s="8" t="s">
        <v>12</v>
      </c>
    </row>
    <row r="43" customFormat="false" ht="15" hidden="false" customHeight="false" outlineLevel="0" collapsed="false">
      <c r="A43" s="1" t="s">
        <v>27</v>
      </c>
    </row>
    <row r="44" customFormat="false" ht="15" hidden="false" customHeight="false" outlineLevel="0" collapsed="false">
      <c r="B44" s="2" t="s">
        <v>28</v>
      </c>
      <c r="C44" s="2" t="s">
        <v>29</v>
      </c>
      <c r="D44" s="2" t="s">
        <v>30</v>
      </c>
      <c r="E44" s="2" t="s">
        <v>31</v>
      </c>
      <c r="F44" s="2" t="s">
        <v>32</v>
      </c>
      <c r="G44" s="2" t="s">
        <v>33</v>
      </c>
      <c r="H44" s="2" t="s">
        <v>34</v>
      </c>
      <c r="I44" s="2" t="s">
        <v>35</v>
      </c>
      <c r="J44" s="2" t="s">
        <v>36</v>
      </c>
      <c r="K44" s="2" t="s">
        <v>37</v>
      </c>
      <c r="L44" s="2" t="s">
        <v>38</v>
      </c>
      <c r="M44" s="2" t="s">
        <v>39</v>
      </c>
      <c r="N44" s="2" t="s">
        <v>11</v>
      </c>
    </row>
    <row r="45" customFormat="false" ht="15" hidden="false" customHeight="false" outlineLevel="0" collapsed="false">
      <c r="A45" s="9" t="s">
        <v>15</v>
      </c>
      <c r="B45" s="11" t="n">
        <v>130</v>
      </c>
      <c r="C45" s="11" t="n">
        <v>70</v>
      </c>
      <c r="D45" s="11" t="n">
        <v>250</v>
      </c>
      <c r="E45" s="11" t="n">
        <v>220</v>
      </c>
      <c r="F45" s="11" t="n">
        <v>70</v>
      </c>
      <c r="G45" s="11" t="n">
        <v>150</v>
      </c>
      <c r="H45" s="11" t="n">
        <v>100</v>
      </c>
      <c r="I45" s="11" t="n">
        <v>240</v>
      </c>
      <c r="J45" s="11" t="n">
        <v>60</v>
      </c>
      <c r="K45" s="11" t="n">
        <v>70</v>
      </c>
      <c r="L45" s="11" t="n">
        <v>100</v>
      </c>
      <c r="M45" s="11" t="n">
        <v>130</v>
      </c>
      <c r="N45" s="12" t="n">
        <f aca="false">SUM(B45:M45)</f>
        <v>1590</v>
      </c>
    </row>
    <row r="46" customFormat="false" ht="15" hidden="false" customHeight="false" outlineLevel="0" collapsed="false">
      <c r="A46" s="9" t="s">
        <v>16</v>
      </c>
      <c r="B46" s="11" t="n">
        <v>90</v>
      </c>
      <c r="C46" s="11" t="n">
        <v>90</v>
      </c>
      <c r="D46" s="11" t="n">
        <v>210</v>
      </c>
      <c r="E46" s="11" t="n">
        <v>80</v>
      </c>
      <c r="F46" s="11" t="n">
        <v>160</v>
      </c>
      <c r="G46" s="11" t="n">
        <v>140</v>
      </c>
      <c r="H46" s="11" t="n">
        <v>200</v>
      </c>
      <c r="I46" s="11" t="n">
        <v>150</v>
      </c>
      <c r="J46" s="11" t="n">
        <v>90</v>
      </c>
      <c r="K46" s="11" t="n">
        <v>170</v>
      </c>
      <c r="L46" s="11" t="n">
        <v>230</v>
      </c>
      <c r="M46" s="11" t="n">
        <v>60</v>
      </c>
      <c r="N46" s="12" t="n">
        <f aca="false">SUM(B46:M46)</f>
        <v>1670</v>
      </c>
    </row>
    <row r="47" customFormat="false" ht="15" hidden="false" customHeight="false" outlineLevel="0" collapsed="false">
      <c r="A47" s="9" t="s">
        <v>17</v>
      </c>
      <c r="B47" s="11" t="n">
        <v>80</v>
      </c>
      <c r="C47" s="11" t="n">
        <v>130</v>
      </c>
      <c r="D47" s="11" t="n">
        <v>180</v>
      </c>
      <c r="E47" s="11" t="n">
        <v>90</v>
      </c>
      <c r="F47" s="11" t="n">
        <v>210</v>
      </c>
      <c r="G47" s="11" t="n">
        <v>250</v>
      </c>
      <c r="H47" s="11" t="n">
        <v>70</v>
      </c>
      <c r="I47" s="11" t="n">
        <v>140</v>
      </c>
      <c r="J47" s="11" t="n">
        <v>80</v>
      </c>
      <c r="K47" s="11" t="n">
        <v>60</v>
      </c>
      <c r="L47" s="11" t="n">
        <v>190</v>
      </c>
      <c r="M47" s="11" t="n">
        <v>130</v>
      </c>
      <c r="N47" s="12" t="n">
        <f aca="false">SUM(B47:M47)</f>
        <v>1610</v>
      </c>
    </row>
    <row r="48" customFormat="false" ht="15" hidden="false" customHeight="false" outlineLevel="0" collapsed="false">
      <c r="A48" s="9" t="s">
        <v>40</v>
      </c>
      <c r="B48" s="11" t="n">
        <v>130</v>
      </c>
      <c r="C48" s="11" t="n">
        <v>250</v>
      </c>
      <c r="D48" s="11" t="n">
        <v>60</v>
      </c>
      <c r="E48" s="11" t="n">
        <v>190</v>
      </c>
      <c r="F48" s="11" t="n">
        <v>250</v>
      </c>
      <c r="G48" s="11" t="n">
        <v>130</v>
      </c>
      <c r="H48" s="11" t="n">
        <v>170</v>
      </c>
      <c r="I48" s="11" t="n">
        <v>110</v>
      </c>
      <c r="J48" s="11" t="n">
        <v>150</v>
      </c>
      <c r="K48" s="11" t="n">
        <v>60</v>
      </c>
      <c r="L48" s="11" t="n">
        <v>210</v>
      </c>
      <c r="M48" s="11" t="n">
        <v>60</v>
      </c>
      <c r="N48" s="12" t="n">
        <f aca="false">SUM(B48:M48)</f>
        <v>1770</v>
      </c>
    </row>
    <row r="49" customFormat="false" ht="15" hidden="false" customHeight="false" outlineLevel="0" collapsed="false">
      <c r="A49" s="9" t="s">
        <v>41</v>
      </c>
      <c r="B49" s="11" t="n">
        <v>130</v>
      </c>
      <c r="C49" s="11" t="n">
        <v>180</v>
      </c>
      <c r="D49" s="11" t="n">
        <v>140</v>
      </c>
      <c r="E49" s="11" t="n">
        <v>240</v>
      </c>
      <c r="F49" s="11" t="n">
        <v>90</v>
      </c>
      <c r="G49" s="11" t="n">
        <v>180</v>
      </c>
      <c r="H49" s="11" t="n">
        <v>170</v>
      </c>
      <c r="I49" s="11" t="n">
        <v>90</v>
      </c>
      <c r="J49" s="11" t="n">
        <v>140</v>
      </c>
      <c r="K49" s="11" t="n">
        <v>220</v>
      </c>
      <c r="L49" s="11" t="n">
        <v>140</v>
      </c>
      <c r="M49" s="11" t="n">
        <v>190</v>
      </c>
      <c r="N49" s="12" t="n">
        <f aca="false">SUM(B49:M49)</f>
        <v>1910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3" min="2" style="0" width="11"/>
    <col collapsed="false" customWidth="true" hidden="false" outlineLevel="0" max="14" min="14" style="0" width="13"/>
  </cols>
  <sheetData>
    <row r="1" customFormat="false" ht="15" hidden="false" customHeight="false" outlineLevel="0" collapsed="false">
      <c r="A1" s="1" t="s">
        <v>42</v>
      </c>
    </row>
    <row r="2" customFormat="false" ht="15" hidden="false" customHeight="false" outlineLevel="0" collapsed="false"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 t="s">
        <v>39</v>
      </c>
      <c r="N2" s="2" t="s">
        <v>11</v>
      </c>
    </row>
    <row r="3" customFormat="false" ht="15" hidden="false" customHeight="false" outlineLevel="0" collapsed="false">
      <c r="A3" s="3" t="s">
        <v>43</v>
      </c>
      <c r="B3" s="13" t="n">
        <f aca="false">données!B45*données!$B$16</f>
        <v>1950</v>
      </c>
      <c r="C3" s="13" t="n">
        <f aca="false">données!C45*données!$B$16</f>
        <v>1050</v>
      </c>
      <c r="D3" s="13" t="n">
        <f aca="false">données!D45*données!$B$16</f>
        <v>3750</v>
      </c>
      <c r="E3" s="13" t="n">
        <f aca="false">données!E45*données!$B$16</f>
        <v>3300</v>
      </c>
      <c r="F3" s="13" t="n">
        <f aca="false">données!F45*données!$B$16</f>
        <v>1050</v>
      </c>
      <c r="G3" s="13" t="n">
        <f aca="false">données!G45*données!$B$16</f>
        <v>2250</v>
      </c>
      <c r="H3" s="13" t="n">
        <f aca="false">données!H45*données!$B$16</f>
        <v>1500</v>
      </c>
      <c r="I3" s="13" t="n">
        <f aca="false">données!I45*données!$B$16</f>
        <v>3600</v>
      </c>
      <c r="J3" s="13" t="n">
        <f aca="false">données!J45*données!$B$16</f>
        <v>900</v>
      </c>
      <c r="K3" s="13" t="n">
        <f aca="false">données!K45*données!$B$16</f>
        <v>1050</v>
      </c>
      <c r="L3" s="13" t="n">
        <f aca="false">données!L45*données!$B$16</f>
        <v>1500</v>
      </c>
      <c r="M3" s="13" t="n">
        <f aca="false">données!M45*données!$B$16</f>
        <v>1950</v>
      </c>
      <c r="N3" s="14" t="n">
        <f aca="false">SUM(B3:M3)</f>
        <v>23850</v>
      </c>
    </row>
    <row r="4" customFormat="false" ht="15" hidden="false" customHeight="false" outlineLevel="0" collapsed="false">
      <c r="A4" s="3" t="s">
        <v>44</v>
      </c>
      <c r="B4" s="13" t="n">
        <f aca="false">données!B46*données!$B$17</f>
        <v>2250</v>
      </c>
      <c r="C4" s="13" t="n">
        <f aca="false">données!C46*données!$B$17</f>
        <v>2250</v>
      </c>
      <c r="D4" s="13" t="n">
        <f aca="false">données!D46*données!$B$17</f>
        <v>5250</v>
      </c>
      <c r="E4" s="13" t="n">
        <f aca="false">données!E46*données!$B$17</f>
        <v>2000</v>
      </c>
      <c r="F4" s="13" t="n">
        <f aca="false">données!F46*données!$B$17</f>
        <v>4000</v>
      </c>
      <c r="G4" s="13" t="n">
        <f aca="false">données!G46*données!$B$17</f>
        <v>3500</v>
      </c>
      <c r="H4" s="13" t="n">
        <f aca="false">données!H46*données!$B$17</f>
        <v>5000</v>
      </c>
      <c r="I4" s="13" t="n">
        <f aca="false">données!I46*données!$B$17</f>
        <v>3750</v>
      </c>
      <c r="J4" s="13" t="n">
        <f aca="false">données!J46*données!$B$17</f>
        <v>2250</v>
      </c>
      <c r="K4" s="13" t="n">
        <f aca="false">données!K46*données!$B$17</f>
        <v>4250</v>
      </c>
      <c r="L4" s="13" t="n">
        <f aca="false">données!L46*données!$B$17</f>
        <v>5750</v>
      </c>
      <c r="M4" s="13" t="n">
        <f aca="false">données!M46*données!$B$17</f>
        <v>1500</v>
      </c>
      <c r="N4" s="14" t="n">
        <f aca="false">SUM(B4:M4)</f>
        <v>41750</v>
      </c>
    </row>
    <row r="5" customFormat="false" ht="15" hidden="false" customHeight="false" outlineLevel="0" collapsed="false">
      <c r="A5" s="3" t="s">
        <v>45</v>
      </c>
      <c r="B5" s="13" t="n">
        <f aca="false">données!B47*données!$B$18</f>
        <v>2800</v>
      </c>
      <c r="C5" s="13" t="n">
        <f aca="false">données!C47*données!$B$18</f>
        <v>4550</v>
      </c>
      <c r="D5" s="13" t="n">
        <f aca="false">données!D47*données!$B$18</f>
        <v>6300</v>
      </c>
      <c r="E5" s="13" t="n">
        <f aca="false">données!E47*données!$B$18</f>
        <v>3150</v>
      </c>
      <c r="F5" s="13" t="n">
        <f aca="false">données!F47*données!$B$18</f>
        <v>7350</v>
      </c>
      <c r="G5" s="13" t="n">
        <f aca="false">données!G47*données!$B$18</f>
        <v>8750</v>
      </c>
      <c r="H5" s="13" t="n">
        <f aca="false">données!H47*données!$B$18</f>
        <v>2450</v>
      </c>
      <c r="I5" s="13" t="n">
        <f aca="false">données!I47*données!$B$18</f>
        <v>4900</v>
      </c>
      <c r="J5" s="13" t="n">
        <f aca="false">données!J47*données!$B$18</f>
        <v>2800</v>
      </c>
      <c r="K5" s="13" t="n">
        <f aca="false">données!K47*données!$B$18</f>
        <v>2100</v>
      </c>
      <c r="L5" s="13" t="n">
        <f aca="false">données!L47*données!$B$18</f>
        <v>6650</v>
      </c>
      <c r="M5" s="13" t="n">
        <f aca="false">données!M47*données!$B$18</f>
        <v>4550</v>
      </c>
      <c r="N5" s="14" t="n">
        <f aca="false">SUM(B5:M5)</f>
        <v>56350</v>
      </c>
    </row>
    <row r="6" customFormat="false" ht="15" hidden="false" customHeight="false" outlineLevel="0" collapsed="false">
      <c r="A6" s="3" t="s">
        <v>46</v>
      </c>
      <c r="B6" s="13" t="n">
        <f aca="false">données!B48*données!$B$19</f>
        <v>390</v>
      </c>
      <c r="C6" s="13" t="n">
        <f aca="false">données!C48*données!$B$19</f>
        <v>750</v>
      </c>
      <c r="D6" s="13" t="n">
        <f aca="false">données!D48*données!$B$19</f>
        <v>180</v>
      </c>
      <c r="E6" s="13" t="n">
        <f aca="false">données!E48*données!$B$19</f>
        <v>570</v>
      </c>
      <c r="F6" s="13" t="n">
        <f aca="false">données!F48*données!$B$19</f>
        <v>750</v>
      </c>
      <c r="G6" s="13" t="n">
        <f aca="false">données!G48*données!$B$19</f>
        <v>390</v>
      </c>
      <c r="H6" s="13" t="n">
        <f aca="false">données!H48*données!$B$19</f>
        <v>510</v>
      </c>
      <c r="I6" s="13" t="n">
        <f aca="false">données!I48*données!$B$19</f>
        <v>330</v>
      </c>
      <c r="J6" s="13" t="n">
        <f aca="false">données!J48*données!$B$19</f>
        <v>450</v>
      </c>
      <c r="K6" s="13" t="n">
        <f aca="false">données!K48*données!$B$19</f>
        <v>180</v>
      </c>
      <c r="L6" s="13" t="n">
        <f aca="false">données!L48*données!$B$19</f>
        <v>630</v>
      </c>
      <c r="M6" s="13" t="n">
        <f aca="false">données!M48*données!$B$19</f>
        <v>180</v>
      </c>
      <c r="N6" s="14" t="n">
        <f aca="false">SUM(B6:M6)</f>
        <v>5310</v>
      </c>
    </row>
    <row r="7" customFormat="false" ht="15" hidden="false" customHeight="false" outlineLevel="0" collapsed="false">
      <c r="A7" s="3" t="s">
        <v>47</v>
      </c>
      <c r="B7" s="13" t="n">
        <f aca="false">données!B49*données!$B$20</f>
        <v>780</v>
      </c>
      <c r="C7" s="13" t="n">
        <f aca="false">données!C49*données!$B$20</f>
        <v>1080</v>
      </c>
      <c r="D7" s="13" t="n">
        <f aca="false">données!D49*données!$B$20</f>
        <v>840</v>
      </c>
      <c r="E7" s="13" t="n">
        <f aca="false">données!E49*données!$B$20</f>
        <v>1440</v>
      </c>
      <c r="F7" s="13" t="n">
        <f aca="false">données!F49*données!$B$20</f>
        <v>540</v>
      </c>
      <c r="G7" s="13" t="n">
        <f aca="false">données!G49*données!$B$20</f>
        <v>1080</v>
      </c>
      <c r="H7" s="13" t="n">
        <f aca="false">données!H49*données!$B$20</f>
        <v>1020</v>
      </c>
      <c r="I7" s="13" t="n">
        <f aca="false">données!I49*données!$B$20</f>
        <v>540</v>
      </c>
      <c r="J7" s="13" t="n">
        <f aca="false">données!J49*données!$B$20</f>
        <v>840</v>
      </c>
      <c r="K7" s="13" t="n">
        <f aca="false">données!K49*données!$B$20</f>
        <v>1320</v>
      </c>
      <c r="L7" s="13" t="n">
        <f aca="false">données!L49*données!$B$20</f>
        <v>840</v>
      </c>
      <c r="M7" s="13" t="n">
        <f aca="false">données!M49*données!$B$20</f>
        <v>1140</v>
      </c>
      <c r="N7" s="14" t="n">
        <f aca="false">SUM(B7:M7)</f>
        <v>11460</v>
      </c>
    </row>
    <row r="8" customFormat="false" ht="15" hidden="false" customHeight="false" outlineLevel="0" collapsed="false">
      <c r="A8" s="6" t="s">
        <v>48</v>
      </c>
      <c r="B8" s="7" t="n">
        <f aca="false">SUM(B3:B7)</f>
        <v>8170</v>
      </c>
      <c r="C8" s="7" t="n">
        <f aca="false">SUM(C3:C7)</f>
        <v>9680</v>
      </c>
      <c r="D8" s="7" t="n">
        <f aca="false">SUM(D3:D7)</f>
        <v>16320</v>
      </c>
      <c r="E8" s="7" t="n">
        <f aca="false">SUM(E3:E7)</f>
        <v>10460</v>
      </c>
      <c r="F8" s="7" t="n">
        <f aca="false">SUM(F3:F7)</f>
        <v>13690</v>
      </c>
      <c r="G8" s="7" t="n">
        <f aca="false">SUM(G3:G7)</f>
        <v>15970</v>
      </c>
      <c r="H8" s="7" t="n">
        <f aca="false">SUM(H3:H7)</f>
        <v>10480</v>
      </c>
      <c r="I8" s="7" t="n">
        <f aca="false">SUM(I3:I7)</f>
        <v>13120</v>
      </c>
      <c r="J8" s="7" t="n">
        <f aca="false">SUM(J3:J7)</f>
        <v>7240</v>
      </c>
      <c r="K8" s="7" t="n">
        <f aca="false">SUM(K3:K7)</f>
        <v>8900</v>
      </c>
      <c r="L8" s="7" t="n">
        <f aca="false">SUM(L3:L7)</f>
        <v>15370</v>
      </c>
      <c r="M8" s="7" t="n">
        <f aca="false">SUM(M3:M7)</f>
        <v>9320</v>
      </c>
      <c r="N8" s="7" t="n">
        <f aca="false">SUM(N3:N7)</f>
        <v>138720</v>
      </c>
    </row>
    <row r="9" customFormat="false" ht="15" hidden="false" customHeight="false" outlineLevel="0" collapsed="false">
      <c r="A9" s="3" t="s">
        <v>49</v>
      </c>
      <c r="B9" s="13" t="n">
        <f aca="false">données!$B$12</f>
        <v>4696.66666666667</v>
      </c>
      <c r="C9" s="13" t="n">
        <f aca="false">données!$B$12</f>
        <v>4696.66666666667</v>
      </c>
      <c r="D9" s="13" t="n">
        <f aca="false">données!$B$12</f>
        <v>4696.66666666667</v>
      </c>
      <c r="E9" s="13" t="n">
        <f aca="false">données!$B$12</f>
        <v>4696.66666666667</v>
      </c>
      <c r="F9" s="13" t="n">
        <f aca="false">données!$B$12</f>
        <v>4696.66666666667</v>
      </c>
      <c r="G9" s="13" t="n">
        <f aca="false">données!$B$12</f>
        <v>4696.66666666667</v>
      </c>
      <c r="H9" s="13" t="n">
        <f aca="false">données!$B$12</f>
        <v>4696.66666666667</v>
      </c>
      <c r="I9" s="13" t="n">
        <f aca="false">données!$B$12</f>
        <v>4696.66666666667</v>
      </c>
      <c r="J9" s="13" t="n">
        <f aca="false">données!$B$12</f>
        <v>4696.66666666667</v>
      </c>
      <c r="K9" s="13" t="n">
        <f aca="false">données!$B$12</f>
        <v>4696.66666666667</v>
      </c>
      <c r="L9" s="13" t="n">
        <f aca="false">données!$B$12</f>
        <v>4696.66666666667</v>
      </c>
      <c r="M9" s="13" t="n">
        <f aca="false">données!$B$12</f>
        <v>4696.66666666667</v>
      </c>
      <c r="N9" s="14" t="n">
        <f aca="false">SUM(B9:M9)</f>
        <v>56360</v>
      </c>
    </row>
    <row r="10" customFormat="false" ht="15" hidden="false" customHeight="false" outlineLevel="0" collapsed="false">
      <c r="A10" s="3" t="s">
        <v>50</v>
      </c>
      <c r="B10" s="13" t="n">
        <f aca="false">données!B45*données!$B$24</f>
        <v>1300</v>
      </c>
      <c r="C10" s="13" t="n">
        <f aca="false">données!C45*données!$B$24</f>
        <v>700</v>
      </c>
      <c r="D10" s="13" t="n">
        <f aca="false">données!D45*données!$B$24</f>
        <v>2500</v>
      </c>
      <c r="E10" s="13" t="n">
        <f aca="false">données!E45*données!$B$24</f>
        <v>2200</v>
      </c>
      <c r="F10" s="13" t="n">
        <f aca="false">données!F45*données!$B$24</f>
        <v>700</v>
      </c>
      <c r="G10" s="13" t="n">
        <f aca="false">données!G45*données!$B$24</f>
        <v>1500</v>
      </c>
      <c r="H10" s="13" t="n">
        <f aca="false">données!H45*données!$B$24</f>
        <v>1000</v>
      </c>
      <c r="I10" s="13" t="n">
        <f aca="false">données!I45*données!$B$24</f>
        <v>2400</v>
      </c>
      <c r="J10" s="13" t="n">
        <f aca="false">données!J45*données!$B$24</f>
        <v>600</v>
      </c>
      <c r="K10" s="13" t="n">
        <f aca="false">données!K45*données!$B$24</f>
        <v>700</v>
      </c>
      <c r="L10" s="13" t="n">
        <f aca="false">données!L45*données!$B$24</f>
        <v>1000</v>
      </c>
      <c r="M10" s="13" t="n">
        <f aca="false">données!M45*données!$B$24</f>
        <v>1300</v>
      </c>
      <c r="N10" s="14" t="n">
        <f aca="false">SUM(B10:M10)</f>
        <v>15900</v>
      </c>
    </row>
    <row r="11" customFormat="false" ht="15" hidden="false" customHeight="false" outlineLevel="0" collapsed="false">
      <c r="A11" s="3" t="s">
        <v>51</v>
      </c>
      <c r="B11" s="13" t="n">
        <f aca="false">données!B46*données!$B$25</f>
        <v>1350</v>
      </c>
      <c r="C11" s="13" t="n">
        <f aca="false">données!C46*données!$B$25</f>
        <v>1350</v>
      </c>
      <c r="D11" s="13" t="n">
        <f aca="false">données!D46*données!$B$25</f>
        <v>3150</v>
      </c>
      <c r="E11" s="13" t="n">
        <f aca="false">données!E46*données!$B$25</f>
        <v>1200</v>
      </c>
      <c r="F11" s="13" t="n">
        <f aca="false">données!F46*données!$B$25</f>
        <v>2400</v>
      </c>
      <c r="G11" s="13" t="n">
        <f aca="false">données!G46*données!$B$25</f>
        <v>2100</v>
      </c>
      <c r="H11" s="13" t="n">
        <f aca="false">données!H46*données!$B$25</f>
        <v>3000</v>
      </c>
      <c r="I11" s="13" t="n">
        <f aca="false">données!I46*données!$B$25</f>
        <v>2250</v>
      </c>
      <c r="J11" s="13" t="n">
        <f aca="false">données!J46*données!$B$25</f>
        <v>1350</v>
      </c>
      <c r="K11" s="13" t="n">
        <f aca="false">données!K46*données!$B$25</f>
        <v>2550</v>
      </c>
      <c r="L11" s="13" t="n">
        <f aca="false">données!L46*données!$B$25</f>
        <v>3450</v>
      </c>
      <c r="M11" s="13" t="n">
        <f aca="false">données!M46*données!$B$25</f>
        <v>900</v>
      </c>
      <c r="N11" s="14" t="n">
        <f aca="false">SUM(B11:M11)</f>
        <v>25050</v>
      </c>
    </row>
    <row r="12" customFormat="false" ht="15" hidden="false" customHeight="false" outlineLevel="0" collapsed="false">
      <c r="A12" s="3" t="s">
        <v>52</v>
      </c>
      <c r="B12" s="13" t="n">
        <f aca="false">données!B47*données!$B$26</f>
        <v>1600</v>
      </c>
      <c r="C12" s="13" t="n">
        <f aca="false">données!C47*données!$B$26</f>
        <v>2600</v>
      </c>
      <c r="D12" s="13" t="n">
        <f aca="false">données!D47*données!$B$26</f>
        <v>3600</v>
      </c>
      <c r="E12" s="13" t="n">
        <f aca="false">données!E47*données!$B$26</f>
        <v>1800</v>
      </c>
      <c r="F12" s="13" t="n">
        <f aca="false">données!F47*données!$B$26</f>
        <v>4200</v>
      </c>
      <c r="G12" s="13" t="n">
        <f aca="false">données!G47*données!$B$26</f>
        <v>5000</v>
      </c>
      <c r="H12" s="13" t="n">
        <f aca="false">données!H47*données!$B$26</f>
        <v>1400</v>
      </c>
      <c r="I12" s="13" t="n">
        <f aca="false">données!I47*données!$B$26</f>
        <v>2800</v>
      </c>
      <c r="J12" s="13" t="n">
        <f aca="false">données!J47*données!$B$26</f>
        <v>1600</v>
      </c>
      <c r="K12" s="13" t="n">
        <f aca="false">données!K47*données!$B$26</f>
        <v>1200</v>
      </c>
      <c r="L12" s="13" t="n">
        <f aca="false">données!L47*données!$B$26</f>
        <v>3800</v>
      </c>
      <c r="M12" s="13" t="n">
        <f aca="false">données!M47*données!$B$26</f>
        <v>2600</v>
      </c>
      <c r="N12" s="14" t="n">
        <f aca="false">SUM(B12:M12)</f>
        <v>32200</v>
      </c>
    </row>
    <row r="13" customFormat="false" ht="15" hidden="false" customHeight="false" outlineLevel="0" collapsed="false">
      <c r="A13" s="3" t="s">
        <v>53</v>
      </c>
      <c r="B13" s="13" t="n">
        <f aca="false">données!B48*données!$B$27</f>
        <v>130</v>
      </c>
      <c r="C13" s="13" t="n">
        <f aca="false">données!C48*données!$B$27</f>
        <v>250</v>
      </c>
      <c r="D13" s="13" t="n">
        <f aca="false">données!D48*données!$B$27</f>
        <v>60</v>
      </c>
      <c r="E13" s="13" t="n">
        <f aca="false">données!E48*données!$B$27</f>
        <v>190</v>
      </c>
      <c r="F13" s="13" t="n">
        <f aca="false">données!F48*données!$B$27</f>
        <v>250</v>
      </c>
      <c r="G13" s="13" t="n">
        <f aca="false">données!G48*données!$B$27</f>
        <v>130</v>
      </c>
      <c r="H13" s="13" t="n">
        <f aca="false">données!H48*données!$B$27</f>
        <v>170</v>
      </c>
      <c r="I13" s="13" t="n">
        <f aca="false">données!I48*données!$B$27</f>
        <v>110</v>
      </c>
      <c r="J13" s="13" t="n">
        <f aca="false">données!J48*données!$B$27</f>
        <v>150</v>
      </c>
      <c r="K13" s="13" t="n">
        <f aca="false">données!K48*données!$B$27</f>
        <v>60</v>
      </c>
      <c r="L13" s="13" t="n">
        <f aca="false">données!L48*données!$B$27</f>
        <v>210</v>
      </c>
      <c r="M13" s="13" t="n">
        <f aca="false">données!M48*données!$B$27</f>
        <v>60</v>
      </c>
      <c r="N13" s="14" t="n">
        <f aca="false">SUM(B13:M13)</f>
        <v>1770</v>
      </c>
    </row>
    <row r="14" customFormat="false" ht="15" hidden="false" customHeight="false" outlineLevel="0" collapsed="false">
      <c r="A14" s="3" t="s">
        <v>54</v>
      </c>
      <c r="B14" s="13" t="n">
        <f aca="false">données!B49*données!$B$28</f>
        <v>260</v>
      </c>
      <c r="C14" s="13" t="n">
        <f aca="false">données!C49*données!$B$28</f>
        <v>360</v>
      </c>
      <c r="D14" s="13" t="n">
        <f aca="false">données!D49*données!$B$28</f>
        <v>280</v>
      </c>
      <c r="E14" s="13" t="n">
        <f aca="false">données!E49*données!$B$28</f>
        <v>480</v>
      </c>
      <c r="F14" s="13" t="n">
        <f aca="false">données!F49*données!$B$28</f>
        <v>180</v>
      </c>
      <c r="G14" s="13" t="n">
        <f aca="false">données!G49*données!$B$28</f>
        <v>360</v>
      </c>
      <c r="H14" s="13" t="n">
        <f aca="false">données!H49*données!$B$28</f>
        <v>340</v>
      </c>
      <c r="I14" s="13" t="n">
        <f aca="false">données!I49*données!$B$28</f>
        <v>180</v>
      </c>
      <c r="J14" s="13" t="n">
        <f aca="false">données!J49*données!$B$28</f>
        <v>280</v>
      </c>
      <c r="K14" s="13" t="n">
        <f aca="false">données!K49*données!$B$28</f>
        <v>440</v>
      </c>
      <c r="L14" s="13" t="n">
        <f aca="false">données!L49*données!$B$28</f>
        <v>280</v>
      </c>
      <c r="M14" s="13" t="n">
        <f aca="false">données!M49*données!$B$28</f>
        <v>380</v>
      </c>
      <c r="N14" s="14" t="n">
        <f aca="false">SUM(B14:M14)</f>
        <v>3820</v>
      </c>
    </row>
    <row r="15" customFormat="false" ht="15" hidden="false" customHeight="false" outlineLevel="0" collapsed="false">
      <c r="A15" s="3" t="s">
        <v>55</v>
      </c>
      <c r="B15" s="13" t="n">
        <f aca="false">(B3+B4+B5)*données!$B$31</f>
        <v>700</v>
      </c>
      <c r="C15" s="13" t="n">
        <f aca="false">(C3+C4+C5)*données!$B$31</f>
        <v>785</v>
      </c>
      <c r="D15" s="13" t="n">
        <f aca="false">(D3+D4+D5)*données!$B$31</f>
        <v>1530</v>
      </c>
      <c r="E15" s="13" t="n">
        <f aca="false">(E3+E4+E5)*données!$B$31</f>
        <v>845</v>
      </c>
      <c r="F15" s="13" t="n">
        <f aca="false">(F3+F4+F5)*données!$B$31</f>
        <v>1240</v>
      </c>
      <c r="G15" s="13" t="n">
        <f aca="false">(G3+G4+G5)*données!$B$31</f>
        <v>1450</v>
      </c>
      <c r="H15" s="13" t="n">
        <f aca="false">(H3+H4+H5)*données!$B$31</f>
        <v>895</v>
      </c>
      <c r="I15" s="13" t="n">
        <f aca="false">(I3+I4+I5)*données!$B$31</f>
        <v>1225</v>
      </c>
      <c r="J15" s="13" t="n">
        <f aca="false">(J3+J4+J5)*données!$B$31</f>
        <v>595</v>
      </c>
      <c r="K15" s="13" t="n">
        <f aca="false">(K3+K4+K5)*données!$B$31</f>
        <v>740</v>
      </c>
      <c r="L15" s="13" t="n">
        <f aca="false">(L3+L4+L5)*données!$B$31</f>
        <v>1390</v>
      </c>
      <c r="M15" s="13" t="n">
        <f aca="false">(M3+M4+M5)*données!$B$31</f>
        <v>800</v>
      </c>
      <c r="N15" s="14" t="n">
        <f aca="false">SUM(B15:M15)</f>
        <v>12195</v>
      </c>
    </row>
    <row r="16" customFormat="false" ht="15" hidden="false" customHeight="false" outlineLevel="0" collapsed="false">
      <c r="A16" s="3" t="s">
        <v>56</v>
      </c>
      <c r="B16" s="13" t="n">
        <f aca="false">(B6+B7)*données!$B$32</f>
        <v>234</v>
      </c>
      <c r="C16" s="13" t="n">
        <f aca="false">(C6+C7)*données!$B$32</f>
        <v>366</v>
      </c>
      <c r="D16" s="13" t="n">
        <f aca="false">(D6+D7)*données!$B$32</f>
        <v>204</v>
      </c>
      <c r="E16" s="13" t="n">
        <f aca="false">(E6+E7)*données!$B$32</f>
        <v>402</v>
      </c>
      <c r="F16" s="13" t="n">
        <f aca="false">(F6+F7)*données!$B$32</f>
        <v>258</v>
      </c>
      <c r="G16" s="13" t="n">
        <f aca="false">(G6+G7)*données!$B$32</f>
        <v>294</v>
      </c>
      <c r="H16" s="13" t="n">
        <f aca="false">(H6+H7)*données!$B$32</f>
        <v>306</v>
      </c>
      <c r="I16" s="13" t="n">
        <f aca="false">(I6+I7)*données!$B$32</f>
        <v>174</v>
      </c>
      <c r="J16" s="13" t="n">
        <f aca="false">(J6+J7)*données!$B$32</f>
        <v>258</v>
      </c>
      <c r="K16" s="13" t="n">
        <f aca="false">(K6+K7)*données!$B$32</f>
        <v>300</v>
      </c>
      <c r="L16" s="13" t="n">
        <f aca="false">(L6+L7)*données!$B$32</f>
        <v>294</v>
      </c>
      <c r="M16" s="13" t="n">
        <f aca="false">(M6+M7)*données!$B$32</f>
        <v>264</v>
      </c>
      <c r="N16" s="14" t="n">
        <f aca="false">SUM(B16:M16)</f>
        <v>3354</v>
      </c>
    </row>
    <row r="17" customFormat="false" ht="15" hidden="false" customHeight="false" outlineLevel="0" collapsed="false">
      <c r="A17" s="15" t="s">
        <v>57</v>
      </c>
      <c r="B17" s="16" t="n">
        <f aca="false">SUM(B10:B16)</f>
        <v>5574</v>
      </c>
      <c r="C17" s="16" t="n">
        <f aca="false">SUM(C10:C16)</f>
        <v>6411</v>
      </c>
      <c r="D17" s="16" t="n">
        <f aca="false">SUM(D10:D16)</f>
        <v>11324</v>
      </c>
      <c r="E17" s="16" t="n">
        <f aca="false">SUM(E10:E16)</f>
        <v>7117</v>
      </c>
      <c r="F17" s="16" t="n">
        <f aca="false">SUM(F10:F16)</f>
        <v>9228</v>
      </c>
      <c r="G17" s="16" t="n">
        <f aca="false">SUM(G10:G16)</f>
        <v>10834</v>
      </c>
      <c r="H17" s="16" t="n">
        <f aca="false">SUM(H10:H16)</f>
        <v>7111</v>
      </c>
      <c r="I17" s="16" t="n">
        <f aca="false">SUM(I10:I16)</f>
        <v>9139</v>
      </c>
      <c r="J17" s="16" t="n">
        <f aca="false">SUM(J10:J16)</f>
        <v>4833</v>
      </c>
      <c r="K17" s="16" t="n">
        <f aca="false">SUM(K10:K16)</f>
        <v>5990</v>
      </c>
      <c r="L17" s="16" t="n">
        <f aca="false">SUM(L10:L16)</f>
        <v>10424</v>
      </c>
      <c r="M17" s="16" t="n">
        <f aca="false">SUM(M10:M16)</f>
        <v>6304</v>
      </c>
      <c r="N17" s="16" t="n">
        <f aca="false">SUM(N10:N16)</f>
        <v>94289</v>
      </c>
    </row>
    <row r="18" customFormat="false" ht="15" hidden="false" customHeight="false" outlineLevel="0" collapsed="false">
      <c r="A18" s="15" t="s">
        <v>58</v>
      </c>
      <c r="B18" s="16" t="n">
        <f aca="false">B9+B17</f>
        <v>10270.6666666667</v>
      </c>
      <c r="C18" s="16" t="n">
        <f aca="false">C9+C17</f>
        <v>11107.6666666667</v>
      </c>
      <c r="D18" s="16" t="n">
        <f aca="false">D9+D17</f>
        <v>16020.6666666667</v>
      </c>
      <c r="E18" s="16" t="n">
        <f aca="false">E9+E17</f>
        <v>11813.6666666667</v>
      </c>
      <c r="F18" s="16" t="n">
        <f aca="false">F9+F17</f>
        <v>13924.6666666667</v>
      </c>
      <c r="G18" s="16" t="n">
        <f aca="false">G9+G17</f>
        <v>15530.6666666667</v>
      </c>
      <c r="H18" s="16" t="n">
        <f aca="false">H9+H17</f>
        <v>11807.6666666667</v>
      </c>
      <c r="I18" s="16" t="n">
        <f aca="false">I9+I17</f>
        <v>13835.6666666667</v>
      </c>
      <c r="J18" s="16" t="n">
        <f aca="false">J9+J17</f>
        <v>9529.66666666667</v>
      </c>
      <c r="K18" s="16" t="n">
        <f aca="false">K9+K17</f>
        <v>10686.6666666667</v>
      </c>
      <c r="L18" s="16" t="n">
        <f aca="false">L9+L17</f>
        <v>15120.6666666667</v>
      </c>
      <c r="M18" s="16" t="n">
        <f aca="false">M9+M17</f>
        <v>11000.6666666667</v>
      </c>
      <c r="N18" s="16" t="n">
        <f aca="false">N9+N17</f>
        <v>150649</v>
      </c>
    </row>
    <row r="19" customFormat="false" ht="15" hidden="false" customHeight="false" outlineLevel="0" collapsed="false">
      <c r="A19" s="6" t="s">
        <v>59</v>
      </c>
      <c r="B19" s="7" t="n">
        <f aca="false">B18</f>
        <v>10270.6666666667</v>
      </c>
      <c r="C19" s="7" t="n">
        <f aca="false">C18</f>
        <v>11107.6666666667</v>
      </c>
      <c r="D19" s="7" t="n">
        <f aca="false">D18</f>
        <v>16020.6666666667</v>
      </c>
      <c r="E19" s="7" t="n">
        <f aca="false">E18</f>
        <v>11813.6666666667</v>
      </c>
      <c r="F19" s="7" t="n">
        <f aca="false">F18</f>
        <v>13924.6666666667</v>
      </c>
      <c r="G19" s="7" t="n">
        <f aca="false">G18</f>
        <v>15530.6666666667</v>
      </c>
      <c r="H19" s="7" t="n">
        <f aca="false">H18</f>
        <v>11807.6666666667</v>
      </c>
      <c r="I19" s="7" t="n">
        <f aca="false">I18</f>
        <v>13835.6666666667</v>
      </c>
      <c r="J19" s="7" t="n">
        <f aca="false">J18</f>
        <v>9529.66666666667</v>
      </c>
      <c r="K19" s="7" t="n">
        <f aca="false">K18</f>
        <v>10686.6666666667</v>
      </c>
      <c r="L19" s="7" t="n">
        <f aca="false">L18</f>
        <v>15120.6666666667</v>
      </c>
      <c r="M19" s="7" t="n">
        <f aca="false">M18</f>
        <v>11000.6666666667</v>
      </c>
      <c r="N19" s="7" t="n">
        <f aca="false">N18</f>
        <v>150649</v>
      </c>
    </row>
    <row r="20" customFormat="false" ht="15" hidden="false" customHeight="false" outlineLevel="0" collapsed="false">
      <c r="A20" s="12" t="s">
        <v>60</v>
      </c>
      <c r="B20" s="14" t="n">
        <f aca="false">B8-B19</f>
        <v>-2100.66666666667</v>
      </c>
      <c r="C20" s="14" t="n">
        <f aca="false">C8-C19</f>
        <v>-1427.66666666667</v>
      </c>
      <c r="D20" s="14" t="n">
        <f aca="false">D8-D19</f>
        <v>299.333333333332</v>
      </c>
      <c r="E20" s="14" t="n">
        <f aca="false">E8-E19</f>
        <v>-1353.66666666667</v>
      </c>
      <c r="F20" s="14" t="n">
        <f aca="false">F8-F19</f>
        <v>-234.666666666668</v>
      </c>
      <c r="G20" s="14" t="n">
        <f aca="false">G8-G19</f>
        <v>439.333333333332</v>
      </c>
      <c r="H20" s="14" t="n">
        <f aca="false">H8-H19</f>
        <v>-1327.66666666667</v>
      </c>
      <c r="I20" s="14" t="n">
        <f aca="false">I8-I19</f>
        <v>-715.666666666668</v>
      </c>
      <c r="J20" s="14" t="n">
        <f aca="false">J8-J19</f>
        <v>-2289.66666666667</v>
      </c>
      <c r="K20" s="14" t="n">
        <f aca="false">K8-K19</f>
        <v>-1786.66666666667</v>
      </c>
      <c r="L20" s="14" t="n">
        <f aca="false">L8-L19</f>
        <v>249.333333333332</v>
      </c>
      <c r="M20" s="14" t="n">
        <f aca="false">M8-M19</f>
        <v>-1680.66666666667</v>
      </c>
      <c r="N20" s="14" t="n">
        <f aca="false">N8-N19</f>
        <v>-11929</v>
      </c>
    </row>
  </sheetData>
  <conditionalFormatting sqref="B20:N20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2026-09-17T15:34:32Z</dcterms:created>
  <dc:creator>openpyxl</dc:creator>
  <dc:description/>
  <dc:language>en-US</dc:language>
  <cp:lastModifiedBy/>
  <dcterms:modified xsi:type="dcterms:W3CDTF">2026-09-17T15:35:08Z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